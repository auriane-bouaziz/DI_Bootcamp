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AurianeB/DI-Bootcamp/Week12/Day2/Lectures/"/>
    </mc:Choice>
  </mc:AlternateContent>
  <xr:revisionPtr revIDLastSave="0" documentId="8_{0385E39D-C017-EB42-8479-8C3A388B4F55}" xr6:coauthVersionLast="47" xr6:coauthVersionMax="47" xr10:uidLastSave="{00000000-0000-0000-0000-000000000000}"/>
  <bookViews>
    <workbookView xWindow="260" yWindow="660" windowWidth="29400" windowHeight="16900" activeTab="2" xr2:uid="{00000000-000D-0000-FFFF-FFFF00000000}"/>
  </bookViews>
  <sheets>
    <sheet name="Sales" sheetId="1" r:id="rId1"/>
    <sheet name="Products" sheetId="2" r:id="rId2"/>
    <sheet name="Practice" sheetId="3" r:id="rId3"/>
    <sheet name="Lookup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3" l="1"/>
  <c r="C19" i="3"/>
  <c r="C20" i="3"/>
  <c r="C21" i="3"/>
  <c r="C18" i="3"/>
  <c r="D19" i="3"/>
  <c r="D20" i="3"/>
  <c r="D21" i="3"/>
  <c r="D22" i="3"/>
  <c r="D18" i="3"/>
  <c r="E13" i="3"/>
  <c r="D14" i="3"/>
  <c r="D15" i="3"/>
  <c r="D13" i="3"/>
  <c r="D21" i="4"/>
  <c r="D20" i="4"/>
  <c r="C21" i="4"/>
  <c r="C20" i="4"/>
  <c r="D16" i="4"/>
  <c r="D15" i="4"/>
  <c r="C16" i="4"/>
  <c r="C15" i="4"/>
  <c r="D5" i="4"/>
  <c r="D4" i="4"/>
  <c r="C5" i="4"/>
  <c r="C4" i="4"/>
  <c r="D6" i="3"/>
</calcChain>
</file>

<file path=xl/sharedStrings.xml><?xml version="1.0" encoding="utf-8"?>
<sst xmlns="http://schemas.openxmlformats.org/spreadsheetml/2006/main" count="510" uniqueCount="154">
  <si>
    <t>Order ID</t>
  </si>
  <si>
    <t>Order date</t>
  </si>
  <si>
    <t>Country</t>
  </si>
  <si>
    <t>Product ID</t>
  </si>
  <si>
    <t>Customer</t>
  </si>
  <si>
    <t>Quantity</t>
  </si>
  <si>
    <t>Unit price</t>
  </si>
  <si>
    <t>Amount</t>
  </si>
  <si>
    <t>Sales rep</t>
  </si>
  <si>
    <t>Status</t>
  </si>
  <si>
    <t>O1001</t>
  </si>
  <si>
    <t>France</t>
  </si>
  <si>
    <t>P101</t>
  </si>
  <si>
    <t>Alice Martin</t>
  </si>
  <si>
    <t>Maya</t>
  </si>
  <si>
    <t>Returned</t>
  </si>
  <si>
    <t>O1002</t>
  </si>
  <si>
    <t>Israel</t>
  </si>
  <si>
    <t>P106</t>
  </si>
  <si>
    <t>Ben Cohen</t>
  </si>
  <si>
    <t>Noah</t>
  </si>
  <si>
    <t>Completed</t>
  </si>
  <si>
    <t>O1003</t>
  </si>
  <si>
    <t>Germany</t>
  </si>
  <si>
    <t>P103</t>
  </si>
  <si>
    <t>Clara Levy</t>
  </si>
  <si>
    <t>Lia</t>
  </si>
  <si>
    <t>O1004</t>
  </si>
  <si>
    <t>Spain</t>
  </si>
  <si>
    <t>P108</t>
  </si>
  <si>
    <t>David Klein</t>
  </si>
  <si>
    <t>O1005</t>
  </si>
  <si>
    <t>P105</t>
  </si>
  <si>
    <t>O1006</t>
  </si>
  <si>
    <t>P102</t>
  </si>
  <si>
    <t>O1007</t>
  </si>
  <si>
    <t>P107</t>
  </si>
  <si>
    <t>O1008</t>
  </si>
  <si>
    <t>P104</t>
  </si>
  <si>
    <t>O1009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</si>
  <si>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</si>
  <si>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</si>
  <si>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</si>
  <si>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</si>
  <si>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</si>
  <si>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</si>
  <si>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</si>
  <si>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</si>
  <si>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</si>
  <si>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</si>
  <si>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</si>
  <si>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</si>
  <si>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</si>
  <si>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</si>
  <si>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</si>
  <si>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</si>
  <si>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</si>
  <si>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</si>
  <si>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O1028</t>
  </si>
  <si>
    <t>O1029</t>
  </si>
  <si>
    <t>O1030</t>
  </si>
  <si>
    <t>O1031</t>
  </si>
  <si>
    <t>O1032</t>
  </si>
  <si>
    <t>O1033</t>
  </si>
  <si>
    <t>O1034</t>
  </si>
  <si>
    <t>O1035</t>
  </si>
  <si>
    <t>O1036</t>
  </si>
  <si>
    <t>O1037</t>
  </si>
  <si>
    <t>O1038</t>
  </si>
  <si>
    <t>O1039</t>
  </si>
  <si>
    <t>O1040</t>
  </si>
  <si>
    <t>O1041</t>
  </si>
  <si>
    <t>O1042</t>
  </si>
  <si>
    <t>O1043</t>
  </si>
  <si>
    <t>O1044</t>
  </si>
  <si>
    <t>O1045</t>
  </si>
  <si>
    <t>O1046</t>
  </si>
  <si>
    <t>O1047</t>
  </si>
  <si>
    <t>O1048</t>
  </si>
  <si>
    <t>O1049</t>
  </si>
  <si>
    <t>O1050</t>
  </si>
  <si>
    <t>O1051</t>
  </si>
  <si>
    <t>O1052</t>
  </si>
  <si>
    <t>O1053</t>
  </si>
  <si>
    <t>O1054</t>
  </si>
  <si>
    <t>O1055</t>
  </si>
  <si>
    <t>O1056</t>
  </si>
  <si>
    <t>O1057</t>
  </si>
  <si>
    <t>O1058</t>
  </si>
  <si>
    <t>O1059</t>
  </si>
  <si>
    <t>O1060</t>
  </si>
  <si>
    <t>O1061</t>
  </si>
  <si>
    <t>O1062</t>
  </si>
  <si>
    <t>O1063</t>
  </si>
  <si>
    <t>O1064</t>
  </si>
  <si>
    <t>Product</t>
  </si>
  <si>
    <t>Category</t>
  </si>
  <si>
    <t>Apple</t>
  </si>
  <si>
    <t>Fruit</t>
  </si>
  <si>
    <t>Banana</t>
  </si>
  <si>
    <t>Orange</t>
  </si>
  <si>
    <t>Mango</t>
  </si>
  <si>
    <t>Carrot</t>
  </si>
  <si>
    <t>Vegetable</t>
  </si>
  <si>
    <t>Tomato</t>
  </si>
  <si>
    <t>Cucumber</t>
  </si>
  <si>
    <t>Avocado</t>
  </si>
  <si>
    <t>EXERCISES — enter formulas in the blank cells</t>
  </si>
  <si>
    <t>Weighted scores</t>
  </si>
  <si>
    <t>Score</t>
  </si>
  <si>
    <t>Weight</t>
  </si>
  <si>
    <t>Result</t>
  </si>
  <si>
    <t>Test 1</t>
  </si>
  <si>
    <t>Test 2</t>
  </si>
  <si>
    <t>Test 3</t>
  </si>
  <si>
    <t>Weighted total</t>
  </si>
  <si>
    <t>IF / AND / OR</t>
  </si>
  <si>
    <t>Decision</t>
  </si>
  <si>
    <t>Order A</t>
  </si>
  <si>
    <t>Order B</t>
  </si>
  <si>
    <t>Order C</t>
  </si>
  <si>
    <t>Cleaning practice</t>
  </si>
  <si>
    <t>Raw customer</t>
  </si>
  <si>
    <t>Combined text</t>
  </si>
  <si>
    <t>Cleaned text</t>
  </si>
  <si>
    <t>C01</t>
  </si>
  <si>
    <t>Alice   Martin</t>
  </si>
  <si>
    <t>C02</t>
  </si>
  <si>
    <t>Ben  Cohen</t>
  </si>
  <si>
    <t>C03</t>
  </si>
  <si>
    <t>C04</t>
  </si>
  <si>
    <t>What-if practice</t>
  </si>
  <si>
    <t>Value</t>
  </si>
  <si>
    <t>Units sold</t>
  </si>
  <si>
    <t>Price per unit</t>
  </si>
  <si>
    <t>Variable cost per unit</t>
  </si>
  <si>
    <t>Fixed costs</t>
  </si>
  <si>
    <t>Profit — enter formula</t>
  </si>
  <si>
    <t>LOOKUPS — VLOOKUP → HLOOKUP → INDEX + MATCH</t>
  </si>
  <si>
    <t>1. VLOOKUP (vertical)</t>
  </si>
  <si>
    <t>Product name</t>
  </si>
  <si>
    <t>Find details for</t>
  </si>
  <si>
    <t>2. HLOOKUP (horizontal)</t>
  </si>
  <si>
    <t>Look up in row 9</t>
  </si>
  <si>
    <t>3. INDEX + MATCH</t>
  </si>
  <si>
    <t>Use Products for sections 1 and 3; use the horizontal table above for section 2.</t>
  </si>
  <si>
    <t xml:space="preserve">France </t>
  </si>
  <si>
    <t xml:space="preserve"> Paris</t>
  </si>
  <si>
    <t xml:space="preserve">Israel </t>
  </si>
  <si>
    <t xml:space="preserve"> Tel Aviv</t>
  </si>
  <si>
    <t xml:space="preserve">Germany </t>
  </si>
  <si>
    <t xml:space="preserve"> Berlin</t>
  </si>
  <si>
    <t xml:space="preserve"> Madrid</t>
  </si>
  <si>
    <t xml:space="preserve">Espagne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</si>
</sst>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name val="Carlito"/>
    </font>
    <font>
      <b/>
      <sz val="11"/>
      <color rgb="FFFFFFFF"/>
      <name val="Aptos"/>
    </font>
    <font>
      <b/>
      <sz val="11"/>
      <color rgb="FF17365D"/>
      <name val="Aptos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CEAF6"/>
      </patternFill>
    </fill>
    <fill>
      <patternFill patternType="solid">
        <fgColor rgb="FF17365D"/>
      </patternFill>
    </fill>
    <fill>
      <patternFill patternType="solid">
        <fgColor rgb="FFDCE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2" fontId="0" fillId="0" borderId="0" xfId="0" applyNumberFormat="1"/>
    <xf numFmtId="9" fontId="0" fillId="0" borderId="0" xfId="0" applyNumberFormat="1"/>
    <xf numFmtId="0" fontId="1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"/>
  <sheetViews>
    <sheetView zoomScale="158" workbookViewId="0">
      <pane ySplit="1" topLeftCell="A2" activePane="bottomLeft" state="frozen"/>
      <selection pane="bottomLeft" activeCell="C19" sqref="C19"/>
    </sheetView>
  </sheetViews>
  <sheetFormatPr baseColWidth="10" defaultColWidth="8.83203125" defaultRowHeight="15"/>
  <cols>
    <col min="1" max="10" width="17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t="s">
        <v>10</v>
      </c>
      <c r="B2" s="1">
        <v>46023</v>
      </c>
      <c r="C2" t="s">
        <v>11</v>
      </c>
      <c r="D2" t="s">
        <v>12</v>
      </c>
      <c r="E2" t="s">
        <v>13</v>
      </c>
      <c r="F2">
        <v>1</v>
      </c>
      <c r="G2" s="2">
        <v>2.5</v>
      </c>
      <c r="H2" s="2">
        <v>2.5</v>
      </c>
      <c r="I2" t="s">
        <v>14</v>
      </c>
      <c r="J2" t="s">
        <v>15</v>
      </c>
    </row>
    <row r="3" spans="1:10">
      <c r="A3" t="s">
        <v>16</v>
      </c>
      <c r="B3" s="1">
        <v>46061</v>
      </c>
      <c r="C3" t="s">
        <v>17</v>
      </c>
      <c r="D3" t="s">
        <v>18</v>
      </c>
      <c r="E3" t="s">
        <v>19</v>
      </c>
      <c r="F3">
        <v>8</v>
      </c>
      <c r="G3" s="2">
        <v>2.9</v>
      </c>
      <c r="H3" s="2">
        <v>23.2</v>
      </c>
      <c r="I3" t="s">
        <v>20</v>
      </c>
      <c r="J3" t="s">
        <v>21</v>
      </c>
    </row>
    <row r="4" spans="1:10">
      <c r="A4" t="s">
        <v>22</v>
      </c>
      <c r="B4" s="1">
        <v>46096</v>
      </c>
      <c r="C4" t="s">
        <v>23</v>
      </c>
      <c r="D4" t="s">
        <v>24</v>
      </c>
      <c r="E4" t="s">
        <v>25</v>
      </c>
      <c r="F4">
        <v>3</v>
      </c>
      <c r="G4" s="2">
        <v>2.2000000000000002</v>
      </c>
      <c r="H4" s="2">
        <v>6.6000000000000005</v>
      </c>
      <c r="I4" t="s">
        <v>26</v>
      </c>
      <c r="J4" t="s">
        <v>21</v>
      </c>
    </row>
    <row r="5" spans="1:10">
      <c r="A5" t="s">
        <v>27</v>
      </c>
      <c r="B5" s="1">
        <v>46134</v>
      </c>
      <c r="C5" t="s">
        <v>28</v>
      </c>
      <c r="D5" t="s">
        <v>29</v>
      </c>
      <c r="E5" t="s">
        <v>30</v>
      </c>
      <c r="F5">
        <v>10</v>
      </c>
      <c r="G5" s="2">
        <v>5.2</v>
      </c>
      <c r="H5" s="2">
        <v>52</v>
      </c>
      <c r="I5" t="s">
        <v>14</v>
      </c>
      <c r="J5" t="s">
        <v>21</v>
      </c>
    </row>
    <row r="6" spans="1:10">
      <c r="A6" t="s">
        <v>31</v>
      </c>
      <c r="B6" s="1">
        <v>46144</v>
      </c>
      <c r="C6" t="s">
        <v>11</v>
      </c>
      <c r="D6" t="s">
        <v>32</v>
      </c>
      <c r="E6" t="s">
        <v>13</v>
      </c>
      <c r="F6">
        <v>5</v>
      </c>
      <c r="G6" s="2">
        <v>1.6</v>
      </c>
      <c r="H6" s="2">
        <v>8</v>
      </c>
      <c r="I6" t="s">
        <v>20</v>
      </c>
      <c r="J6" t="s">
        <v>21</v>
      </c>
    </row>
    <row r="7" spans="1:10">
      <c r="A7" t="s">
        <v>33</v>
      </c>
      <c r="B7" s="1">
        <v>46182</v>
      </c>
      <c r="C7" t="s">
        <v>17</v>
      </c>
      <c r="D7" t="s">
        <v>34</v>
      </c>
      <c r="E7" t="s">
        <v>19</v>
      </c>
      <c r="F7">
        <v>12</v>
      </c>
      <c r="G7" s="2">
        <v>1.8</v>
      </c>
      <c r="H7" s="2">
        <v>21.6</v>
      </c>
      <c r="I7" t="s">
        <v>26</v>
      </c>
      <c r="J7" t="s">
        <v>21</v>
      </c>
    </row>
    <row r="8" spans="1:10">
      <c r="A8" t="s">
        <v>35</v>
      </c>
      <c r="B8" s="1">
        <v>46038</v>
      </c>
      <c r="C8" t="s">
        <v>23</v>
      </c>
      <c r="D8" t="s">
        <v>36</v>
      </c>
      <c r="E8" t="s">
        <v>25</v>
      </c>
      <c r="F8">
        <v>7</v>
      </c>
      <c r="G8" s="2">
        <v>2.1</v>
      </c>
      <c r="H8" s="2">
        <v>14.700000000000001</v>
      </c>
      <c r="I8" t="s">
        <v>14</v>
      </c>
      <c r="J8" t="s">
        <v>21</v>
      </c>
    </row>
    <row r="9" spans="1:10">
      <c r="A9" t="s">
        <v>37</v>
      </c>
      <c r="B9" s="1">
        <v>46076</v>
      </c>
      <c r="C9" t="s">
        <v>28</v>
      </c>
      <c r="D9" t="s">
        <v>38</v>
      </c>
      <c r="E9" t="s">
        <v>30</v>
      </c>
      <c r="F9">
        <v>2</v>
      </c>
      <c r="G9" s="2">
        <v>4.5</v>
      </c>
      <c r="H9" s="2">
        <v>9</v>
      </c>
      <c r="I9" t="s">
        <v>20</v>
      </c>
      <c r="J9" t="s">
        <v>21</v>
      </c>
    </row>
    <row r="10" spans="1:10">
      <c r="A10" t="s">
        <v>39</v>
      </c>
      <c r="B10" s="1">
        <v>46084</v>
      </c>
      <c r="C10" t="s">
        <v>11</v>
      </c>
      <c r="D10" t="s">
        <v>34</v>
      </c>
      <c r="E10" t="s">
        <v>13</v>
      </c>
      <c r="F10">
        <v>9</v>
      </c>
      <c r="G10" s="2">
        <v>1.8</v>
      </c>
      <c r="H10" s="2">
        <v>16.2</v>
      </c>
      <c r="I10" t="s">
        <v>26</v>
      </c>
      <c r="J10" t="s">
        <v>21</v>
      </c>
    </row>
    <row r="11" spans="1:10">
      <c r="A11" t="s">
        <v>40</v>
      </c>
      <c r="B11" s="1">
        <v>46122</v>
      </c>
      <c r="C11" t="s">
        <v>23</v>
      </c>
      <c r="D11" t="s">
        <v>36</v>
      </c>
      <c r="E11" t="s">
        <v>19</v>
      </c>
      <c r="F11">
        <v>4</v>
      </c>
      <c r="G11" s="2">
        <v>2.1</v>
      </c>
      <c r="H11" s="2">
        <v>8.4</v>
      </c>
      <c r="I11" t="s">
        <v>14</v>
      </c>
      <c r="J11" t="s">
        <v>21</v>
      </c>
    </row>
    <row r="12" spans="1:10">
      <c r="A12" t="s">
        <v>41</v>
      </c>
      <c r="B12" s="1">
        <v>46159</v>
      </c>
      <c r="C12" t="s">
        <v>28</v>
      </c>
      <c r="D12" t="s">
        <v>38</v>
      </c>
      <c r="E12" t="s">
        <v>25</v>
      </c>
      <c r="F12">
        <v>11</v>
      </c>
      <c r="G12" s="2">
        <v>4.5</v>
      </c>
      <c r="H12" s="2">
        <v>49.5</v>
      </c>
      <c r="I12" t="s">
        <v>20</v>
      </c>
      <c r="J12" t="s">
        <v>21</v>
      </c>
    </row>
    <row r="13" spans="1:10">
      <c r="A13" t="s">
        <v>42</v>
      </c>
      <c r="B13" s="1">
        <v>46197</v>
      </c>
      <c r="C13" t="s">
        <v>11</v>
      </c>
      <c r="D13" t="s">
        <v>12</v>
      </c>
      <c r="E13" t="s">
        <v>30</v>
      </c>
      <c r="F13">
        <v>6</v>
      </c>
      <c r="G13" s="2">
        <v>2.5</v>
      </c>
      <c r="H13" s="2">
        <v>15</v>
      </c>
      <c r="I13" t="s">
        <v>26</v>
      </c>
      <c r="J13" t="s">
        <v>15</v>
      </c>
    </row>
    <row r="14" spans="1:10">
      <c r="A14" t="s">
        <v>43</v>
      </c>
      <c r="B14" s="1">
        <v>46026</v>
      </c>
      <c r="C14" t="s">
        <v>17</v>
      </c>
      <c r="D14" t="s">
        <v>18</v>
      </c>
      <c r="E14" t="s">
        <v>13</v>
      </c>
      <c r="F14">
        <v>1</v>
      </c>
      <c r="G14" s="2">
        <v>2.9</v>
      </c>
      <c r="H14" s="2">
        <v>2.9</v>
      </c>
      <c r="I14" t="s">
        <v>14</v>
      </c>
      <c r="J14" t="s">
        <v>21</v>
      </c>
    </row>
    <row r="15" spans="1:10">
      <c r="A15" t="s">
        <v>44</v>
      </c>
      <c r="B15" s="1">
        <v>46064</v>
      </c>
      <c r="C15" t="s">
        <v>23</v>
      </c>
      <c r="D15" t="s">
        <v>24</v>
      </c>
      <c r="E15" t="s">
        <v>19</v>
      </c>
      <c r="F15">
        <v>8</v>
      </c>
      <c r="G15" s="2">
        <v>2.2000000000000002</v>
      </c>
      <c r="H15" s="2">
        <v>17.600000000000001</v>
      </c>
      <c r="I15" t="s">
        <v>20</v>
      </c>
      <c r="J15" t="s">
        <v>21</v>
      </c>
    </row>
    <row r="16" spans="1:10">
      <c r="A16" t="s">
        <v>45</v>
      </c>
      <c r="B16" s="1">
        <v>46099</v>
      </c>
      <c r="C16" t="s">
        <v>28</v>
      </c>
      <c r="D16" t="s">
        <v>29</v>
      </c>
      <c r="E16" t="s">
        <v>25</v>
      </c>
      <c r="F16">
        <v>3</v>
      </c>
      <c r="G16" s="2">
        <v>5.2</v>
      </c>
      <c r="H16" s="2">
        <v>15.600000000000001</v>
      </c>
      <c r="I16" t="s">
        <v>26</v>
      </c>
      <c r="J16" t="s">
        <v>21</v>
      </c>
    </row>
    <row r="17" spans="1:10">
      <c r="A17" t="s">
        <v>46</v>
      </c>
      <c r="B17" s="1">
        <v>46137</v>
      </c>
      <c r="C17" t="s">
        <v>11</v>
      </c>
      <c r="D17" t="s">
        <v>32</v>
      </c>
      <c r="E17" t="s">
        <v>30</v>
      </c>
      <c r="F17">
        <v>10</v>
      </c>
      <c r="G17" s="2">
        <v>1.6</v>
      </c>
      <c r="H17" s="2">
        <v>16</v>
      </c>
      <c r="I17" t="s">
        <v>14</v>
      </c>
      <c r="J17" t="s">
        <v>21</v>
      </c>
    </row>
    <row r="18" spans="1:10">
      <c r="A18" t="s">
        <v>47</v>
      </c>
      <c r="B18" s="1">
        <v>46147</v>
      </c>
      <c r="C18" t="s">
        <v>17</v>
      </c>
      <c r="D18" t="s">
        <v>24</v>
      </c>
      <c r="E18" t="s">
        <v>13</v>
      </c>
      <c r="F18">
        <v>5</v>
      </c>
      <c r="G18" s="2">
        <v>2.2000000000000002</v>
      </c>
      <c r="H18" s="2">
        <v>11</v>
      </c>
      <c r="I18" t="s">
        <v>20</v>
      </c>
      <c r="J18" t="s">
        <v>21</v>
      </c>
    </row>
    <row r="19" spans="1:10">
      <c r="A19" t="s">
        <v>48</v>
      </c>
      <c r="B19" s="1">
        <v>46185</v>
      </c>
      <c r="C19" t="s">
        <v>23</v>
      </c>
      <c r="D19" t="s">
        <v>29</v>
      </c>
      <c r="E19" t="s">
        <v>19</v>
      </c>
      <c r="F19">
        <v>12</v>
      </c>
      <c r="G19" s="2">
        <v>5.2</v>
      </c>
      <c r="H19" s="2">
        <v>62.400000000000006</v>
      </c>
      <c r="I19" t="s">
        <v>26</v>
      </c>
      <c r="J19" t="s">
        <v>21</v>
      </c>
    </row>
    <row r="20" spans="1:10">
      <c r="A20" t="s">
        <v>49</v>
      </c>
      <c r="B20" s="1">
        <v>46041</v>
      </c>
      <c r="C20" t="s">
        <v>11</v>
      </c>
      <c r="D20" t="s">
        <v>32</v>
      </c>
      <c r="E20" t="s">
        <v>25</v>
      </c>
      <c r="F20">
        <v>7</v>
      </c>
      <c r="G20" s="2">
        <v>1.6</v>
      </c>
      <c r="H20" s="2">
        <v>11.200000000000001</v>
      </c>
      <c r="I20" t="s">
        <v>14</v>
      </c>
      <c r="J20" t="s">
        <v>21</v>
      </c>
    </row>
    <row r="21" spans="1:10">
      <c r="A21" t="s">
        <v>50</v>
      </c>
      <c r="B21" s="1">
        <v>46079</v>
      </c>
      <c r="C21" t="s">
        <v>17</v>
      </c>
      <c r="D21" t="s">
        <v>34</v>
      </c>
      <c r="E21" t="s">
        <v>30</v>
      </c>
      <c r="F21">
        <v>2</v>
      </c>
      <c r="G21" s="2">
        <v>1.8</v>
      </c>
      <c r="H21" s="2">
        <v>3.6</v>
      </c>
      <c r="I21" t="s">
        <v>20</v>
      </c>
      <c r="J21" t="s">
        <v>21</v>
      </c>
    </row>
    <row r="22" spans="1:10">
      <c r="A22" t="s">
        <v>51</v>
      </c>
      <c r="B22" s="1">
        <v>46087</v>
      </c>
      <c r="C22" t="s">
        <v>23</v>
      </c>
      <c r="D22" t="s">
        <v>36</v>
      </c>
      <c r="E22" t="s">
        <v>13</v>
      </c>
      <c r="F22">
        <v>9</v>
      </c>
      <c r="G22" s="2">
        <v>2.1</v>
      </c>
      <c r="H22" s="2">
        <v>18.900000000000002</v>
      </c>
      <c r="I22" t="s">
        <v>26</v>
      </c>
      <c r="J22" t="s">
        <v>21</v>
      </c>
    </row>
    <row r="23" spans="1:10">
      <c r="A23" t="s">
        <v>52</v>
      </c>
      <c r="B23" s="1">
        <v>46125</v>
      </c>
      <c r="C23" t="s">
        <v>28</v>
      </c>
      <c r="D23" t="s">
        <v>38</v>
      </c>
      <c r="E23" t="s">
        <v>19</v>
      </c>
      <c r="F23">
        <v>4</v>
      </c>
      <c r="G23" s="2">
        <v>4.5</v>
      </c>
      <c r="H23" s="2">
        <v>18</v>
      </c>
      <c r="I23" t="s">
        <v>14</v>
      </c>
      <c r="J23" t="s">
        <v>21</v>
      </c>
    </row>
    <row r="24" spans="1:10">
      <c r="A24" t="s">
        <v>53</v>
      </c>
      <c r="B24" s="1">
        <v>46162</v>
      </c>
      <c r="C24" t="s">
        <v>11</v>
      </c>
      <c r="D24" t="s">
        <v>12</v>
      </c>
      <c r="E24" t="s">
        <v>25</v>
      </c>
      <c r="F24">
        <v>11</v>
      </c>
      <c r="G24" s="2">
        <v>2.5</v>
      </c>
      <c r="H24" s="2">
        <v>27.5</v>
      </c>
      <c r="I24" t="s">
        <v>20</v>
      </c>
      <c r="J24" t="s">
        <v>15</v>
      </c>
    </row>
    <row r="25" spans="1:10">
      <c r="A25" t="s">
        <v>54</v>
      </c>
      <c r="B25" s="1">
        <v>46200</v>
      </c>
      <c r="C25" t="s">
        <v>17</v>
      </c>
      <c r="D25" t="s">
        <v>18</v>
      </c>
      <c r="E25" t="s">
        <v>30</v>
      </c>
      <c r="F25">
        <v>6</v>
      </c>
      <c r="G25" s="2">
        <v>2.9</v>
      </c>
      <c r="H25" s="2">
        <v>17.399999999999999</v>
      </c>
      <c r="I25" t="s">
        <v>26</v>
      </c>
      <c r="J25" t="s">
        <v>21</v>
      </c>
    </row>
    <row r="26" spans="1:10">
      <c r="A26" t="s">
        <v>55</v>
      </c>
      <c r="B26" s="1">
        <v>46029</v>
      </c>
      <c r="C26" t="s">
        <v>23</v>
      </c>
      <c r="D26" t="s">
        <v>38</v>
      </c>
      <c r="E26" t="s">
        <v>13</v>
      </c>
      <c r="F26">
        <v>1</v>
      </c>
      <c r="G26" s="2">
        <v>4.5</v>
      </c>
      <c r="H26" s="2">
        <v>4.5</v>
      </c>
      <c r="I26" t="s">
        <v>14</v>
      </c>
      <c r="J26" t="s">
        <v>21</v>
      </c>
    </row>
    <row r="27" spans="1:10">
      <c r="A27" t="s">
        <v>56</v>
      </c>
      <c r="B27" s="1">
        <v>46067</v>
      </c>
      <c r="C27" t="s">
        <v>28</v>
      </c>
      <c r="D27" t="s">
        <v>12</v>
      </c>
      <c r="E27" t="s">
        <v>19</v>
      </c>
      <c r="F27">
        <v>8</v>
      </c>
      <c r="G27" s="2">
        <v>2.5</v>
      </c>
      <c r="H27" s="2">
        <v>20</v>
      </c>
      <c r="I27" t="s">
        <v>20</v>
      </c>
      <c r="J27" t="s">
        <v>21</v>
      </c>
    </row>
    <row r="28" spans="1:10">
      <c r="A28" t="s">
        <v>57</v>
      </c>
      <c r="B28" s="1">
        <v>46102</v>
      </c>
      <c r="C28" t="s">
        <v>11</v>
      </c>
      <c r="D28" t="s">
        <v>18</v>
      </c>
      <c r="E28" t="s">
        <v>25</v>
      </c>
      <c r="F28">
        <v>3</v>
      </c>
      <c r="G28" s="2">
        <v>2.9</v>
      </c>
      <c r="H28" s="2">
        <v>8.6999999999999993</v>
      </c>
      <c r="I28" t="s">
        <v>26</v>
      </c>
      <c r="J28" t="s">
        <v>21</v>
      </c>
    </row>
    <row r="29" spans="1:10">
      <c r="A29" t="s">
        <v>58</v>
      </c>
      <c r="B29" s="1">
        <v>46113</v>
      </c>
      <c r="C29" t="s">
        <v>23</v>
      </c>
      <c r="D29" t="s">
        <v>24</v>
      </c>
      <c r="E29" t="s">
        <v>30</v>
      </c>
      <c r="F29">
        <v>10</v>
      </c>
      <c r="G29" s="2">
        <v>2.2000000000000002</v>
      </c>
      <c r="H29" s="2">
        <v>22</v>
      </c>
      <c r="I29" t="s">
        <v>14</v>
      </c>
      <c r="J29" t="s">
        <v>21</v>
      </c>
    </row>
    <row r="30" spans="1:10">
      <c r="A30" t="s">
        <v>59</v>
      </c>
      <c r="B30" s="1">
        <v>46150</v>
      </c>
      <c r="C30" t="s">
        <v>28</v>
      </c>
      <c r="D30" t="s">
        <v>29</v>
      </c>
      <c r="E30" t="s">
        <v>13</v>
      </c>
      <c r="F30">
        <v>5</v>
      </c>
      <c r="G30" s="2">
        <v>5.2</v>
      </c>
      <c r="H30" s="2">
        <v>26</v>
      </c>
      <c r="I30" t="s">
        <v>20</v>
      </c>
      <c r="J30" t="s">
        <v>21</v>
      </c>
    </row>
    <row r="31" spans="1:10">
      <c r="A31" t="s">
        <v>60</v>
      </c>
      <c r="B31" s="1">
        <v>46188</v>
      </c>
      <c r="C31" t="s">
        <v>11</v>
      </c>
      <c r="D31" t="s">
        <v>32</v>
      </c>
      <c r="E31" t="s">
        <v>19</v>
      </c>
      <c r="F31">
        <v>12</v>
      </c>
      <c r="G31" s="2">
        <v>1.6</v>
      </c>
      <c r="H31" s="2">
        <v>19.200000000000003</v>
      </c>
      <c r="I31" t="s">
        <v>26</v>
      </c>
      <c r="J31" t="s">
        <v>21</v>
      </c>
    </row>
    <row r="32" spans="1:10">
      <c r="A32" t="s">
        <v>61</v>
      </c>
      <c r="B32" s="1">
        <v>46044</v>
      </c>
      <c r="C32" t="s">
        <v>17</v>
      </c>
      <c r="D32" t="s">
        <v>34</v>
      </c>
      <c r="E32" t="s">
        <v>25</v>
      </c>
      <c r="F32">
        <v>7</v>
      </c>
      <c r="G32" s="2">
        <v>1.8</v>
      </c>
      <c r="H32" s="2">
        <v>12.6</v>
      </c>
      <c r="I32" t="s">
        <v>14</v>
      </c>
      <c r="J32" t="s">
        <v>21</v>
      </c>
    </row>
    <row r="33" spans="1:10">
      <c r="A33" t="s">
        <v>62</v>
      </c>
      <c r="B33" s="1">
        <v>46055</v>
      </c>
      <c r="C33" t="s">
        <v>23</v>
      </c>
      <c r="D33" t="s">
        <v>36</v>
      </c>
      <c r="E33" t="s">
        <v>30</v>
      </c>
      <c r="F33">
        <v>2</v>
      </c>
      <c r="G33" s="2">
        <v>2.1</v>
      </c>
      <c r="H33" s="2">
        <v>4.2</v>
      </c>
      <c r="I33" t="s">
        <v>20</v>
      </c>
      <c r="J33" t="s">
        <v>21</v>
      </c>
    </row>
    <row r="34" spans="1:10">
      <c r="A34" t="s">
        <v>63</v>
      </c>
      <c r="B34" s="1">
        <v>46090</v>
      </c>
      <c r="C34" t="s">
        <v>28</v>
      </c>
      <c r="D34" t="s">
        <v>32</v>
      </c>
      <c r="E34" t="s">
        <v>13</v>
      </c>
      <c r="F34">
        <v>9</v>
      </c>
      <c r="G34" s="2">
        <v>1.6</v>
      </c>
      <c r="H34" s="2">
        <v>14.4</v>
      </c>
      <c r="I34" t="s">
        <v>26</v>
      </c>
      <c r="J34" t="s">
        <v>21</v>
      </c>
    </row>
    <row r="35" spans="1:10">
      <c r="A35" t="s">
        <v>64</v>
      </c>
      <c r="B35" s="1">
        <v>46128</v>
      </c>
      <c r="C35" t="s">
        <v>11</v>
      </c>
      <c r="D35" t="s">
        <v>34</v>
      </c>
      <c r="E35" t="s">
        <v>19</v>
      </c>
      <c r="F35">
        <v>4</v>
      </c>
      <c r="G35" s="2">
        <v>1.8</v>
      </c>
      <c r="H35" s="2">
        <v>7.2</v>
      </c>
      <c r="I35" t="s">
        <v>14</v>
      </c>
      <c r="J35" t="s">
        <v>15</v>
      </c>
    </row>
    <row r="36" spans="1:10">
      <c r="A36" t="s">
        <v>65</v>
      </c>
      <c r="B36" s="1">
        <v>46165</v>
      </c>
      <c r="C36" t="s">
        <v>17</v>
      </c>
      <c r="D36" t="s">
        <v>36</v>
      </c>
      <c r="E36" t="s">
        <v>25</v>
      </c>
      <c r="F36">
        <v>11</v>
      </c>
      <c r="G36" s="2">
        <v>2.1</v>
      </c>
      <c r="H36" s="2">
        <v>23.1</v>
      </c>
      <c r="I36" t="s">
        <v>20</v>
      </c>
      <c r="J36" t="s">
        <v>21</v>
      </c>
    </row>
    <row r="37" spans="1:10">
      <c r="A37" t="s">
        <v>66</v>
      </c>
      <c r="B37" s="1">
        <v>46176</v>
      </c>
      <c r="C37" t="s">
        <v>23</v>
      </c>
      <c r="D37" t="s">
        <v>38</v>
      </c>
      <c r="E37" t="s">
        <v>30</v>
      </c>
      <c r="F37">
        <v>6</v>
      </c>
      <c r="G37" s="2">
        <v>4.5</v>
      </c>
      <c r="H37" s="2">
        <v>27</v>
      </c>
      <c r="I37" t="s">
        <v>26</v>
      </c>
      <c r="J37" t="s">
        <v>21</v>
      </c>
    </row>
    <row r="38" spans="1:10">
      <c r="A38" t="s">
        <v>67</v>
      </c>
      <c r="B38" s="1">
        <v>46032</v>
      </c>
      <c r="C38" t="s">
        <v>11</v>
      </c>
      <c r="D38" t="s">
        <v>12</v>
      </c>
      <c r="E38" t="s">
        <v>13</v>
      </c>
      <c r="F38">
        <v>1</v>
      </c>
      <c r="G38" s="2">
        <v>2.5</v>
      </c>
      <c r="H38" s="2">
        <v>2.5</v>
      </c>
      <c r="I38" t="s">
        <v>14</v>
      </c>
      <c r="J38" t="s">
        <v>21</v>
      </c>
    </row>
    <row r="39" spans="1:10">
      <c r="A39" t="s">
        <v>68</v>
      </c>
      <c r="B39" s="1">
        <v>46070</v>
      </c>
      <c r="C39" t="s">
        <v>17</v>
      </c>
      <c r="D39" t="s">
        <v>18</v>
      </c>
      <c r="E39" t="s">
        <v>19</v>
      </c>
      <c r="F39">
        <v>8</v>
      </c>
      <c r="G39" s="2">
        <v>2.9</v>
      </c>
      <c r="H39" s="2">
        <v>23.2</v>
      </c>
      <c r="I39" t="s">
        <v>20</v>
      </c>
      <c r="J39" t="s">
        <v>21</v>
      </c>
    </row>
    <row r="40" spans="1:10">
      <c r="A40" t="s">
        <v>69</v>
      </c>
      <c r="B40" s="1">
        <v>46105</v>
      </c>
      <c r="C40" t="s">
        <v>23</v>
      </c>
      <c r="D40" t="s">
        <v>24</v>
      </c>
      <c r="E40" t="s">
        <v>25</v>
      </c>
      <c r="F40">
        <v>3</v>
      </c>
      <c r="G40" s="2">
        <v>2.2000000000000002</v>
      </c>
      <c r="H40" s="2">
        <v>6.6000000000000005</v>
      </c>
      <c r="I40" t="s">
        <v>26</v>
      </c>
      <c r="J40" t="s">
        <v>21</v>
      </c>
    </row>
    <row r="41" spans="1:10">
      <c r="A41" t="s">
        <v>70</v>
      </c>
      <c r="B41" s="1">
        <v>46116</v>
      </c>
      <c r="C41" t="s">
        <v>28</v>
      </c>
      <c r="D41" t="s">
        <v>29</v>
      </c>
      <c r="E41" t="s">
        <v>30</v>
      </c>
      <c r="F41">
        <v>10</v>
      </c>
      <c r="G41" s="2">
        <v>5.2</v>
      </c>
      <c r="H41" s="2">
        <v>52</v>
      </c>
      <c r="I41" t="s">
        <v>14</v>
      </c>
      <c r="J41" t="s">
        <v>21</v>
      </c>
    </row>
    <row r="42" spans="1:10">
      <c r="A42" t="s">
        <v>71</v>
      </c>
      <c r="B42" s="1">
        <v>46153</v>
      </c>
      <c r="C42" t="s">
        <v>11</v>
      </c>
      <c r="D42" t="s">
        <v>18</v>
      </c>
      <c r="E42" t="s">
        <v>13</v>
      </c>
      <c r="F42">
        <v>5</v>
      </c>
      <c r="G42" s="2">
        <v>2.9</v>
      </c>
      <c r="H42" s="2">
        <v>14.5</v>
      </c>
      <c r="I42" t="s">
        <v>20</v>
      </c>
      <c r="J42" t="s">
        <v>21</v>
      </c>
    </row>
    <row r="43" spans="1:10">
      <c r="A43" t="s">
        <v>72</v>
      </c>
      <c r="B43" s="1">
        <v>46191</v>
      </c>
      <c r="C43" t="s">
        <v>17</v>
      </c>
      <c r="D43" t="s">
        <v>24</v>
      </c>
      <c r="E43" t="s">
        <v>19</v>
      </c>
      <c r="F43">
        <v>12</v>
      </c>
      <c r="G43" s="2">
        <v>2.2000000000000002</v>
      </c>
      <c r="H43" s="2">
        <v>26.400000000000002</v>
      </c>
      <c r="I43" t="s">
        <v>26</v>
      </c>
      <c r="J43" t="s">
        <v>21</v>
      </c>
    </row>
    <row r="44" spans="1:10">
      <c r="A44" t="s">
        <v>73</v>
      </c>
      <c r="B44" s="1">
        <v>46047</v>
      </c>
      <c r="C44" t="s">
        <v>23</v>
      </c>
      <c r="D44" t="s">
        <v>29</v>
      </c>
      <c r="E44" t="s">
        <v>25</v>
      </c>
      <c r="F44">
        <v>7</v>
      </c>
      <c r="G44" s="2">
        <v>5.2</v>
      </c>
      <c r="H44" s="2">
        <v>36.4</v>
      </c>
      <c r="I44" t="s">
        <v>14</v>
      </c>
      <c r="J44" t="s">
        <v>21</v>
      </c>
    </row>
    <row r="45" spans="1:10">
      <c r="A45" t="s">
        <v>74</v>
      </c>
      <c r="B45" s="1">
        <v>46058</v>
      </c>
      <c r="C45" t="s">
        <v>28</v>
      </c>
      <c r="D45" t="s">
        <v>32</v>
      </c>
      <c r="E45" t="s">
        <v>30</v>
      </c>
      <c r="F45">
        <v>2</v>
      </c>
      <c r="G45" s="2">
        <v>1.6</v>
      </c>
      <c r="H45" s="2">
        <v>3.2</v>
      </c>
      <c r="I45" t="s">
        <v>20</v>
      </c>
      <c r="J45" t="s">
        <v>21</v>
      </c>
    </row>
    <row r="46" spans="1:10">
      <c r="A46" t="s">
        <v>75</v>
      </c>
      <c r="B46" s="1">
        <v>46093</v>
      </c>
      <c r="C46" t="s">
        <v>11</v>
      </c>
      <c r="D46" t="s">
        <v>34</v>
      </c>
      <c r="E46" t="s">
        <v>13</v>
      </c>
      <c r="F46">
        <v>9</v>
      </c>
      <c r="G46" s="2">
        <v>1.8</v>
      </c>
      <c r="H46" s="2">
        <v>16.2</v>
      </c>
      <c r="I46" t="s">
        <v>26</v>
      </c>
      <c r="J46" t="s">
        <v>15</v>
      </c>
    </row>
    <row r="47" spans="1:10">
      <c r="A47" t="s">
        <v>76</v>
      </c>
      <c r="B47" s="1">
        <v>46131</v>
      </c>
      <c r="C47" t="s">
        <v>23</v>
      </c>
      <c r="D47" t="s">
        <v>36</v>
      </c>
      <c r="E47" t="s">
        <v>19</v>
      </c>
      <c r="F47">
        <v>4</v>
      </c>
      <c r="G47" s="2">
        <v>2.1</v>
      </c>
      <c r="H47" s="2">
        <v>8.4</v>
      </c>
      <c r="I47" t="s">
        <v>14</v>
      </c>
      <c r="J47" t="s">
        <v>21</v>
      </c>
    </row>
    <row r="48" spans="1:10">
      <c r="A48" t="s">
        <v>77</v>
      </c>
      <c r="B48" s="1">
        <v>46168</v>
      </c>
      <c r="C48" t="s">
        <v>28</v>
      </c>
      <c r="D48" t="s">
        <v>38</v>
      </c>
      <c r="E48" t="s">
        <v>25</v>
      </c>
      <c r="F48">
        <v>11</v>
      </c>
      <c r="G48" s="2">
        <v>4.5</v>
      </c>
      <c r="H48" s="2">
        <v>49.5</v>
      </c>
      <c r="I48" t="s">
        <v>20</v>
      </c>
      <c r="J48" t="s">
        <v>21</v>
      </c>
    </row>
    <row r="49" spans="1:10">
      <c r="A49" t="s">
        <v>78</v>
      </c>
      <c r="B49" s="1">
        <v>46179</v>
      </c>
      <c r="C49" t="s">
        <v>11</v>
      </c>
      <c r="D49" t="s">
        <v>12</v>
      </c>
      <c r="E49" t="s">
        <v>30</v>
      </c>
      <c r="F49">
        <v>6</v>
      </c>
      <c r="G49" s="2">
        <v>2.5</v>
      </c>
      <c r="H49" s="2">
        <v>15</v>
      </c>
      <c r="I49" t="s">
        <v>26</v>
      </c>
      <c r="J49" t="s">
        <v>21</v>
      </c>
    </row>
    <row r="50" spans="1:10">
      <c r="A50" t="s">
        <v>79</v>
      </c>
      <c r="B50" s="1">
        <v>46035</v>
      </c>
      <c r="C50" t="s">
        <v>17</v>
      </c>
      <c r="D50" t="s">
        <v>36</v>
      </c>
      <c r="E50" t="s">
        <v>13</v>
      </c>
      <c r="F50">
        <v>1</v>
      </c>
      <c r="G50" s="2">
        <v>2.1</v>
      </c>
      <c r="H50" s="2">
        <v>2.1</v>
      </c>
      <c r="I50" t="s">
        <v>14</v>
      </c>
      <c r="J50" t="s">
        <v>21</v>
      </c>
    </row>
    <row r="51" spans="1:10">
      <c r="A51" t="s">
        <v>80</v>
      </c>
      <c r="B51" s="1">
        <v>46073</v>
      </c>
      <c r="C51" t="s">
        <v>23</v>
      </c>
      <c r="D51" t="s">
        <v>38</v>
      </c>
      <c r="E51" t="s">
        <v>19</v>
      </c>
      <c r="F51">
        <v>8</v>
      </c>
      <c r="G51" s="2">
        <v>4.5</v>
      </c>
      <c r="H51" s="2">
        <v>36</v>
      </c>
      <c r="I51" t="s">
        <v>20</v>
      </c>
      <c r="J51" t="s">
        <v>21</v>
      </c>
    </row>
    <row r="52" spans="1:10">
      <c r="A52" t="s">
        <v>81</v>
      </c>
      <c r="B52" s="1">
        <v>46108</v>
      </c>
      <c r="C52" t="s">
        <v>28</v>
      </c>
      <c r="D52" t="s">
        <v>12</v>
      </c>
      <c r="E52" t="s">
        <v>25</v>
      </c>
      <c r="F52">
        <v>3</v>
      </c>
      <c r="G52" s="2">
        <v>2.5</v>
      </c>
      <c r="H52" s="2">
        <v>7.5</v>
      </c>
      <c r="I52" t="s">
        <v>26</v>
      </c>
      <c r="J52" t="s">
        <v>21</v>
      </c>
    </row>
    <row r="53" spans="1:10">
      <c r="A53" t="s">
        <v>82</v>
      </c>
      <c r="B53" s="1">
        <v>46119</v>
      </c>
      <c r="C53" t="s">
        <v>11</v>
      </c>
      <c r="D53" t="s">
        <v>18</v>
      </c>
      <c r="E53" t="s">
        <v>30</v>
      </c>
      <c r="F53">
        <v>10</v>
      </c>
      <c r="G53" s="2">
        <v>2.9</v>
      </c>
      <c r="H53" s="2">
        <v>29</v>
      </c>
      <c r="I53" t="s">
        <v>14</v>
      </c>
      <c r="J53" t="s">
        <v>21</v>
      </c>
    </row>
    <row r="54" spans="1:10">
      <c r="A54" t="s">
        <v>83</v>
      </c>
      <c r="B54" s="1">
        <v>46156</v>
      </c>
      <c r="C54" t="s">
        <v>17</v>
      </c>
      <c r="D54" t="s">
        <v>24</v>
      </c>
      <c r="E54" t="s">
        <v>13</v>
      </c>
      <c r="F54">
        <v>5</v>
      </c>
      <c r="G54" s="2">
        <v>2.2000000000000002</v>
      </c>
      <c r="H54" s="2">
        <v>11</v>
      </c>
      <c r="I54" t="s">
        <v>20</v>
      </c>
      <c r="J54" t="s">
        <v>21</v>
      </c>
    </row>
    <row r="55" spans="1:10">
      <c r="A55" t="s">
        <v>84</v>
      </c>
      <c r="B55" s="1">
        <v>46194</v>
      </c>
      <c r="C55" t="s">
        <v>23</v>
      </c>
      <c r="D55" t="s">
        <v>29</v>
      </c>
      <c r="E55" t="s">
        <v>19</v>
      </c>
      <c r="F55">
        <v>12</v>
      </c>
      <c r="G55" s="2">
        <v>5.2</v>
      </c>
      <c r="H55" s="2">
        <v>62.400000000000006</v>
      </c>
      <c r="I55" t="s">
        <v>26</v>
      </c>
      <c r="J55" t="s">
        <v>21</v>
      </c>
    </row>
    <row r="56" spans="1:10">
      <c r="A56" t="s">
        <v>85</v>
      </c>
      <c r="B56" s="1">
        <v>46023</v>
      </c>
      <c r="C56" t="s">
        <v>11</v>
      </c>
      <c r="D56" t="s">
        <v>32</v>
      </c>
      <c r="E56" t="s">
        <v>25</v>
      </c>
      <c r="F56">
        <v>7</v>
      </c>
      <c r="G56" s="2">
        <v>1.6</v>
      </c>
      <c r="H56" s="2">
        <v>11.200000000000001</v>
      </c>
      <c r="I56" t="s">
        <v>14</v>
      </c>
      <c r="J56" t="s">
        <v>21</v>
      </c>
    </row>
    <row r="57" spans="1:10">
      <c r="A57" t="s">
        <v>86</v>
      </c>
      <c r="B57" s="1">
        <v>46061</v>
      </c>
      <c r="C57" t="s">
        <v>17</v>
      </c>
      <c r="D57" t="s">
        <v>34</v>
      </c>
      <c r="E57" t="s">
        <v>30</v>
      </c>
      <c r="F57">
        <v>2</v>
      </c>
      <c r="G57" s="2">
        <v>1.8</v>
      </c>
      <c r="H57" s="2">
        <v>3.6</v>
      </c>
      <c r="I57" t="s">
        <v>20</v>
      </c>
      <c r="J57" t="s">
        <v>15</v>
      </c>
    </row>
    <row r="58" spans="1:10">
      <c r="A58" t="s">
        <v>87</v>
      </c>
      <c r="B58" s="1">
        <v>46096</v>
      </c>
      <c r="C58" t="s">
        <v>23</v>
      </c>
      <c r="D58" t="s">
        <v>29</v>
      </c>
      <c r="E58" t="s">
        <v>13</v>
      </c>
      <c r="F58">
        <v>9</v>
      </c>
      <c r="G58" s="2">
        <v>5.2</v>
      </c>
      <c r="H58" s="2">
        <v>46.800000000000004</v>
      </c>
      <c r="I58" t="s">
        <v>26</v>
      </c>
      <c r="J58" t="s">
        <v>21</v>
      </c>
    </row>
    <row r="59" spans="1:10">
      <c r="A59" t="s">
        <v>88</v>
      </c>
      <c r="B59" s="1">
        <v>46134</v>
      </c>
      <c r="C59" t="s">
        <v>28</v>
      </c>
      <c r="D59" t="s">
        <v>32</v>
      </c>
      <c r="E59" t="s">
        <v>19</v>
      </c>
      <c r="F59">
        <v>4</v>
      </c>
      <c r="G59" s="2">
        <v>1.6</v>
      </c>
      <c r="H59" s="2">
        <v>6.4</v>
      </c>
      <c r="I59" t="s">
        <v>14</v>
      </c>
      <c r="J59" t="s">
        <v>21</v>
      </c>
    </row>
    <row r="60" spans="1:10">
      <c r="A60" t="s">
        <v>89</v>
      </c>
      <c r="B60" s="1">
        <v>46144</v>
      </c>
      <c r="C60" t="s">
        <v>11</v>
      </c>
      <c r="D60" t="s">
        <v>34</v>
      </c>
      <c r="E60" t="s">
        <v>25</v>
      </c>
      <c r="F60">
        <v>11</v>
      </c>
      <c r="G60" s="2">
        <v>1.8</v>
      </c>
      <c r="H60" s="2">
        <v>19.8</v>
      </c>
      <c r="I60" t="s">
        <v>20</v>
      </c>
      <c r="J60" t="s">
        <v>21</v>
      </c>
    </row>
    <row r="61" spans="1:10">
      <c r="A61" t="s">
        <v>90</v>
      </c>
      <c r="B61" s="1">
        <v>46182</v>
      </c>
      <c r="C61" t="s">
        <v>17</v>
      </c>
      <c r="D61" t="s">
        <v>36</v>
      </c>
      <c r="E61" t="s">
        <v>30</v>
      </c>
      <c r="F61">
        <v>6</v>
      </c>
      <c r="G61" s="2">
        <v>2.1</v>
      </c>
      <c r="H61" s="2">
        <v>12.600000000000001</v>
      </c>
      <c r="I61" t="s">
        <v>26</v>
      </c>
      <c r="J61" t="s">
        <v>21</v>
      </c>
    </row>
    <row r="62" spans="1:10">
      <c r="A62" t="s">
        <v>91</v>
      </c>
      <c r="B62" s="1">
        <v>46038</v>
      </c>
      <c r="C62" t="s">
        <v>23</v>
      </c>
      <c r="D62" t="s">
        <v>38</v>
      </c>
      <c r="E62" t="s">
        <v>13</v>
      </c>
      <c r="F62">
        <v>1</v>
      </c>
      <c r="G62" s="2">
        <v>4.5</v>
      </c>
      <c r="H62" s="2">
        <v>4.5</v>
      </c>
      <c r="I62" t="s">
        <v>14</v>
      </c>
      <c r="J62" t="s">
        <v>21</v>
      </c>
    </row>
    <row r="63" spans="1:10">
      <c r="A63" t="s">
        <v>92</v>
      </c>
      <c r="B63" s="1">
        <v>46076</v>
      </c>
      <c r="C63" t="s">
        <v>28</v>
      </c>
      <c r="D63" t="s">
        <v>12</v>
      </c>
      <c r="E63" t="s">
        <v>19</v>
      </c>
      <c r="F63">
        <v>8</v>
      </c>
      <c r="G63" s="2">
        <v>2.5</v>
      </c>
      <c r="H63" s="2">
        <v>20</v>
      </c>
      <c r="I63" t="s">
        <v>20</v>
      </c>
      <c r="J63" t="s">
        <v>21</v>
      </c>
    </row>
    <row r="64" spans="1:10">
      <c r="A64" t="s">
        <v>93</v>
      </c>
      <c r="B64" s="1">
        <v>46084</v>
      </c>
      <c r="C64" t="s">
        <v>11</v>
      </c>
      <c r="D64" t="s">
        <v>18</v>
      </c>
      <c r="E64" t="s">
        <v>25</v>
      </c>
      <c r="F64">
        <v>3</v>
      </c>
      <c r="G64" s="2">
        <v>2.9</v>
      </c>
      <c r="H64" s="2">
        <v>8.6999999999999993</v>
      </c>
      <c r="I64" t="s">
        <v>26</v>
      </c>
      <c r="J64" t="s">
        <v>21</v>
      </c>
    </row>
    <row r="65" spans="1:10">
      <c r="A65" t="s">
        <v>94</v>
      </c>
      <c r="B65" s="1">
        <v>46122</v>
      </c>
      <c r="C65" t="s">
        <v>23</v>
      </c>
      <c r="D65" t="s">
        <v>24</v>
      </c>
      <c r="E65" t="s">
        <v>30</v>
      </c>
      <c r="F65">
        <v>10</v>
      </c>
      <c r="G65" s="2">
        <v>2.2000000000000002</v>
      </c>
      <c r="H65" s="2">
        <v>22</v>
      </c>
      <c r="I65" t="s">
        <v>14</v>
      </c>
      <c r="J65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4" width="17" customWidth="1"/>
  </cols>
  <sheetData>
    <row r="1" spans="1:4">
      <c r="A1" s="4" t="s">
        <v>3</v>
      </c>
      <c r="B1" s="4" t="s">
        <v>95</v>
      </c>
      <c r="C1" s="4" t="s">
        <v>96</v>
      </c>
      <c r="D1" s="4" t="s">
        <v>6</v>
      </c>
    </row>
    <row r="2" spans="1:4">
      <c r="A2" t="s">
        <v>12</v>
      </c>
      <c r="B2" t="s">
        <v>97</v>
      </c>
      <c r="C2" t="s">
        <v>98</v>
      </c>
      <c r="D2" s="2">
        <v>2.5</v>
      </c>
    </row>
    <row r="3" spans="1:4">
      <c r="A3" t="s">
        <v>34</v>
      </c>
      <c r="B3" t="s">
        <v>99</v>
      </c>
      <c r="C3" t="s">
        <v>98</v>
      </c>
      <c r="D3" s="2">
        <v>1.8</v>
      </c>
    </row>
    <row r="4" spans="1:4">
      <c r="A4" t="s">
        <v>24</v>
      </c>
      <c r="B4" t="s">
        <v>100</v>
      </c>
      <c r="C4" t="s">
        <v>98</v>
      </c>
      <c r="D4" s="2">
        <v>2.2000000000000002</v>
      </c>
    </row>
    <row r="5" spans="1:4">
      <c r="A5" t="s">
        <v>38</v>
      </c>
      <c r="B5" t="s">
        <v>101</v>
      </c>
      <c r="C5" t="s">
        <v>98</v>
      </c>
      <c r="D5" s="2">
        <v>4.5</v>
      </c>
    </row>
    <row r="6" spans="1:4">
      <c r="A6" t="s">
        <v>32</v>
      </c>
      <c r="B6" t="s">
        <v>102</v>
      </c>
      <c r="C6" t="s">
        <v>103</v>
      </c>
      <c r="D6" s="2">
        <v>1.6</v>
      </c>
    </row>
    <row r="7" spans="1:4">
      <c r="A7" t="s">
        <v>18</v>
      </c>
      <c r="B7" t="s">
        <v>104</v>
      </c>
      <c r="C7" t="s">
        <v>103</v>
      </c>
      <c r="D7" s="2">
        <v>2.9</v>
      </c>
    </row>
    <row r="8" spans="1:4">
      <c r="A8" t="s">
        <v>36</v>
      </c>
      <c r="B8" t="s">
        <v>105</v>
      </c>
      <c r="C8" t="s">
        <v>103</v>
      </c>
      <c r="D8" s="2">
        <v>2.1</v>
      </c>
    </row>
    <row r="9" spans="1:4">
      <c r="A9" t="s">
        <v>29</v>
      </c>
      <c r="B9" t="s">
        <v>106</v>
      </c>
      <c r="C9" t="s">
        <v>98</v>
      </c>
      <c r="D9" s="2">
        <v>5.2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9"/>
  <sheetViews>
    <sheetView tabSelected="1" zoomScale="120" zoomScaleNormal="120" workbookViewId="0">
      <selection activeCell="C25" sqref="C25"/>
    </sheetView>
  </sheetViews>
  <sheetFormatPr baseColWidth="10" defaultColWidth="8.83203125" defaultRowHeight="15"/>
  <cols>
    <col min="1" max="1" width="27" customWidth="1"/>
    <col min="2" max="2" width="23" customWidth="1"/>
    <col min="3" max="6" width="20" customWidth="1"/>
    <col min="7" max="7" width="18.1640625" customWidth="1"/>
  </cols>
  <sheetData>
    <row r="1" spans="1:6">
      <c r="A1" s="4" t="s">
        <v>107</v>
      </c>
      <c r="B1" s="4"/>
      <c r="C1" s="4"/>
      <c r="D1" s="4"/>
      <c r="E1" s="4"/>
      <c r="F1" s="4"/>
    </row>
    <row r="2" spans="1:6">
      <c r="A2" s="5" t="s">
        <v>108</v>
      </c>
      <c r="B2" s="5" t="s">
        <v>109</v>
      </c>
      <c r="C2" s="5" t="s">
        <v>110</v>
      </c>
      <c r="D2" s="5" t="s">
        <v>111</v>
      </c>
      <c r="E2" s="5"/>
      <c r="F2" s="5"/>
    </row>
    <row r="3" spans="1:6">
      <c r="A3" t="s">
        <v>112</v>
      </c>
      <c r="B3">
        <v>85</v>
      </c>
      <c r="C3" s="3">
        <v>0.2</v>
      </c>
    </row>
    <row r="4" spans="1:6">
      <c r="A4" t="s">
        <v>113</v>
      </c>
      <c r="B4">
        <v>90</v>
      </c>
      <c r="C4" s="3">
        <v>0.3</v>
      </c>
    </row>
    <row r="5" spans="1:6">
      <c r="A5" t="s">
        <v>114</v>
      </c>
      <c r="B5">
        <v>75</v>
      </c>
      <c r="C5" s="3">
        <v>0.5</v>
      </c>
    </row>
    <row r="6" spans="1:6">
      <c r="A6" t="s">
        <v>115</v>
      </c>
      <c r="D6">
        <f>SUMPRODUCT(B3:B5,C3:C5)</f>
        <v>81.5</v>
      </c>
    </row>
    <row r="12" spans="1:6">
      <c r="A12" s="5" t="s">
        <v>116</v>
      </c>
      <c r="B12" s="5" t="s">
        <v>5</v>
      </c>
      <c r="C12" s="5" t="s">
        <v>7</v>
      </c>
      <c r="D12" s="5" t="s">
        <v>117</v>
      </c>
      <c r="E12" s="5"/>
      <c r="F12" s="5"/>
    </row>
    <row r="13" spans="1:6">
      <c r="A13" t="s">
        <v>118</v>
      </c>
      <c r="B13">
        <v>12</v>
      </c>
      <c r="C13">
        <v>62.4</v>
      </c>
      <c r="D13" t="str">
        <f>IF(OR(B13&gt;=10, C13&gt;=50),"Priority","Standard")</f>
        <v>Priority</v>
      </c>
      <c r="E13" t="b">
        <f>NOT(C13&gt;10)</f>
        <v>0</v>
      </c>
      <c r="F13">
        <v>100</v>
      </c>
    </row>
    <row r="14" spans="1:6">
      <c r="A14" t="s">
        <v>119</v>
      </c>
      <c r="B14">
        <v>3</v>
      </c>
      <c r="C14">
        <v>5.4</v>
      </c>
      <c r="D14" t="str">
        <f t="shared" ref="D14:D15" si="0">IF(OR(B14&gt;=10, C14&gt;=50),"Priority","Standard")</f>
        <v>Standard</v>
      </c>
    </row>
    <row r="15" spans="1:6">
      <c r="A15" t="s">
        <v>120</v>
      </c>
      <c r="B15">
        <v>9</v>
      </c>
      <c r="C15">
        <v>26.1</v>
      </c>
      <c r="D15" t="str">
        <f t="shared" si="0"/>
        <v>Standard</v>
      </c>
    </row>
    <row r="17" spans="1:8">
      <c r="A17" s="5" t="s">
        <v>121</v>
      </c>
      <c r="B17" s="5" t="s">
        <v>122</v>
      </c>
      <c r="D17" s="5" t="s">
        <v>124</v>
      </c>
      <c r="E17" s="5"/>
      <c r="F17" s="5"/>
      <c r="G17" s="5" t="s">
        <v>123</v>
      </c>
    </row>
    <row r="18" spans="1:8">
      <c r="A18" t="s">
        <v>125</v>
      </c>
      <c r="B18" t="s">
        <v>126</v>
      </c>
      <c r="C18" t="str">
        <f>RIGHT(A18,2)</f>
        <v>01</v>
      </c>
      <c r="D18" t="str">
        <f>TRIM(CLEAN(B18))</f>
        <v>Alice Martin</v>
      </c>
      <c r="G18" t="s">
        <v>146</v>
      </c>
      <c r="H18" t="s">
        <v>147</v>
      </c>
    </row>
    <row r="19" spans="1:8">
      <c r="A19" t="s">
        <v>127</v>
      </c>
      <c r="B19" t="s">
        <v>128</v>
      </c>
      <c r="C19" t="str">
        <f>MID(A19,2,2)</f>
        <v>02</v>
      </c>
      <c r="D19" t="str">
        <f t="shared" ref="D19:D22" si="1">TRIM(CLEAN(B19))</f>
        <v>Ben Cohen</v>
      </c>
      <c r="G19" t="s">
        <v>148</v>
      </c>
      <c r="H19" t="s">
        <v>149</v>
      </c>
    </row>
    <row r="20" spans="1:8">
      <c r="A20" t="s">
        <v>129</v>
      </c>
      <c r="B20" t="s">
        <v>25</v>
      </c>
      <c r="C20" t="str">
        <f t="shared" ref="C19:C21" si="2">RIGHT(A20,2)</f>
        <v>03</v>
      </c>
      <c r="D20" t="str">
        <f t="shared" si="1"/>
        <v>Clara Levy</v>
      </c>
      <c r="G20" t="s">
        <v>150</v>
      </c>
      <c r="H20" t="s">
        <v>151</v>
      </c>
    </row>
    <row r="21" spans="1:8">
      <c r="A21" t="s">
        <v>130</v>
      </c>
      <c r="B21" t="s">
        <v>30</v>
      </c>
      <c r="C21" t="str">
        <f t="shared" si="2"/>
        <v>04</v>
      </c>
      <c r="D21" t="str">
        <f t="shared" si="1"/>
        <v>David Klein</v>
      </c>
      <c r="G21" t="s">
        <v>153</v>
      </c>
      <c r="H21" t="s">
        <v>152</v>
      </c>
    </row>
    <row r="22" spans="1:8">
      <c r="D22" t="str">
        <f t="shared" si="1"/>
        <v/>
      </c>
      <c r="G22" t="s">
        <v>153</v>
      </c>
      <c r="H22" t="s">
        <v>152</v>
      </c>
    </row>
    <row r="24" spans="1:8">
      <c r="A24" s="5" t="s">
        <v>131</v>
      </c>
      <c r="B24" s="5" t="s">
        <v>132</v>
      </c>
      <c r="C24" s="5"/>
      <c r="D24" s="5"/>
      <c r="E24" s="5"/>
      <c r="F24" s="5"/>
    </row>
    <row r="25" spans="1:8">
      <c r="A25" t="s">
        <v>133</v>
      </c>
      <c r="B25">
        <v>100</v>
      </c>
    </row>
    <row r="26" spans="1:8">
      <c r="A26" t="s">
        <v>134</v>
      </c>
      <c r="B26">
        <v>12</v>
      </c>
    </row>
    <row r="27" spans="1:8">
      <c r="A27" t="s">
        <v>135</v>
      </c>
      <c r="B27">
        <v>5</v>
      </c>
    </row>
    <row r="28" spans="1:8">
      <c r="A28" t="s">
        <v>136</v>
      </c>
      <c r="B28">
        <v>250</v>
      </c>
    </row>
    <row r="29" spans="1:8">
      <c r="A29" t="s">
        <v>137</v>
      </c>
      <c r="B29">
        <f>(B25*B26)-(B25*B27)-B28</f>
        <v>450</v>
      </c>
    </row>
  </sheetData>
  <dataValidations count="1">
    <dataValidation type="whole" allowBlank="1" showInputMessage="1" showErrorMessage="1" sqref="F13" xr:uid="{540D7844-38E8-504B-82CD-143950E981FD}">
      <formula1>1</formula1>
      <formula2>100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3"/>
  <sheetViews>
    <sheetView workbookViewId="0">
      <pane ySplit="1" topLeftCell="A2" activePane="bottomLeft" state="frozen"/>
      <selection pane="bottomLeft" activeCell="B32" sqref="B32"/>
    </sheetView>
  </sheetViews>
  <sheetFormatPr baseColWidth="10" defaultColWidth="8.83203125" defaultRowHeight="15"/>
  <cols>
    <col min="1" max="1" width="68" customWidth="1"/>
    <col min="2" max="5" width="18" customWidth="1"/>
  </cols>
  <sheetData>
    <row r="1" spans="1:6">
      <c r="A1" s="6" t="s">
        <v>138</v>
      </c>
      <c r="B1" s="6"/>
      <c r="C1" s="6"/>
      <c r="D1" s="6"/>
      <c r="E1" s="6"/>
      <c r="F1" s="6"/>
    </row>
    <row r="3" spans="1:6">
      <c r="A3" s="7" t="s">
        <v>139</v>
      </c>
      <c r="B3" s="7" t="s">
        <v>3</v>
      </c>
      <c r="C3" s="7" t="s">
        <v>140</v>
      </c>
      <c r="D3" s="7" t="s">
        <v>96</v>
      </c>
      <c r="E3" s="7"/>
      <c r="F3" s="7"/>
    </row>
    <row r="4" spans="1:6">
      <c r="A4" t="s">
        <v>141</v>
      </c>
      <c r="B4" t="s">
        <v>38</v>
      </c>
      <c r="C4" t="str">
        <f>VLOOKUP(B4,Products!A2:D9,2,FALSE)</f>
        <v>Mango</v>
      </c>
      <c r="D4" t="str">
        <f>VLOOKUP(B4,Products!A2:D9,3,FALSE)</f>
        <v>Fruit</v>
      </c>
    </row>
    <row r="5" spans="1:6">
      <c r="A5" t="s">
        <v>141</v>
      </c>
      <c r="B5" t="s">
        <v>36</v>
      </c>
      <c r="C5" t="str">
        <f>VLOOKUP(B5,Products!A3:D10,2,FALSE)</f>
        <v>Cucumber</v>
      </c>
      <c r="D5" t="str">
        <f>VLOOKUP(B5,Products!A3:D10,3,FALSE)</f>
        <v>Vegetable</v>
      </c>
    </row>
    <row r="8" spans="1:6">
      <c r="A8" s="7" t="s">
        <v>142</v>
      </c>
      <c r="B8" s="7"/>
      <c r="C8" s="7"/>
      <c r="D8" s="7"/>
      <c r="E8" s="7"/>
      <c r="F8" s="7"/>
    </row>
    <row r="9" spans="1:6">
      <c r="A9" t="s">
        <v>3</v>
      </c>
      <c r="B9" t="s">
        <v>12</v>
      </c>
      <c r="C9" t="s">
        <v>38</v>
      </c>
      <c r="D9" t="s">
        <v>36</v>
      </c>
      <c r="E9" t="s">
        <v>29</v>
      </c>
    </row>
    <row r="10" spans="1:6">
      <c r="A10" t="s">
        <v>95</v>
      </c>
      <c r="B10" t="s">
        <v>97</v>
      </c>
      <c r="C10" t="s">
        <v>101</v>
      </c>
      <c r="D10" t="s">
        <v>105</v>
      </c>
      <c r="E10" t="s">
        <v>106</v>
      </c>
    </row>
    <row r="11" spans="1:6">
      <c r="A11" t="s">
        <v>96</v>
      </c>
      <c r="B11" t="s">
        <v>98</v>
      </c>
      <c r="C11" t="s">
        <v>98</v>
      </c>
      <c r="D11" t="s">
        <v>103</v>
      </c>
      <c r="E11" t="s">
        <v>98</v>
      </c>
    </row>
    <row r="12" spans="1:6">
      <c r="A12" t="s">
        <v>6</v>
      </c>
      <c r="B12">
        <v>2.5</v>
      </c>
      <c r="C12">
        <v>4.5</v>
      </c>
      <c r="D12">
        <v>2.1</v>
      </c>
      <c r="E12">
        <v>5.2</v>
      </c>
    </row>
    <row r="14" spans="1:6">
      <c r="A14" s="7" t="s">
        <v>141</v>
      </c>
      <c r="B14" s="7" t="s">
        <v>3</v>
      </c>
      <c r="C14" s="7" t="s">
        <v>140</v>
      </c>
      <c r="D14" s="7" t="s">
        <v>96</v>
      </c>
      <c r="E14" s="7"/>
      <c r="F14" s="7"/>
    </row>
    <row r="15" spans="1:6">
      <c r="A15" t="s">
        <v>143</v>
      </c>
      <c r="B15" t="s">
        <v>38</v>
      </c>
      <c r="C15" t="str">
        <f>HLOOKUP(B15,$A$9:$E$12,2,FALSE)</f>
        <v>Mango</v>
      </c>
      <c r="D15" t="str">
        <f>HLOOKUP(B15,$A$9:$E$12,3,FALSE)</f>
        <v>Fruit</v>
      </c>
    </row>
    <row r="16" spans="1:6">
      <c r="A16" t="s">
        <v>143</v>
      </c>
      <c r="B16" t="s">
        <v>36</v>
      </c>
      <c r="C16" t="str">
        <f t="shared" ref="C16:C17" si="0">HLOOKUP(B16,$A$9:$E$12,2,FALSE)</f>
        <v>Cucumber</v>
      </c>
      <c r="D16" t="str">
        <f>HLOOKUP(B16,$A$9:$E$12,3,FALSE)</f>
        <v>Vegetable</v>
      </c>
    </row>
    <row r="19" spans="1:6">
      <c r="A19" s="7" t="s">
        <v>144</v>
      </c>
      <c r="B19" s="7" t="s">
        <v>3</v>
      </c>
      <c r="C19" s="7" t="s">
        <v>140</v>
      </c>
      <c r="D19" s="7" t="s">
        <v>96</v>
      </c>
      <c r="E19" s="7"/>
      <c r="F19" s="7"/>
    </row>
    <row r="20" spans="1:6">
      <c r="A20" t="s">
        <v>141</v>
      </c>
      <c r="B20" t="s">
        <v>38</v>
      </c>
      <c r="C20" t="str">
        <f>INDEX(Products!B2:B9,MATCH(B20,Products!A2:A9,0))</f>
        <v>Mango</v>
      </c>
      <c r="D20" t="str">
        <f>INDEX(Products!C2:C9,MATCH(C20,Products!B2:B9,0))</f>
        <v>Fruit</v>
      </c>
    </row>
    <row r="21" spans="1:6">
      <c r="A21" t="s">
        <v>141</v>
      </c>
      <c r="B21" t="s">
        <v>36</v>
      </c>
      <c r="C21" t="str">
        <f>INDEX(Products!B3:B10,MATCH(B21,Products!A3:A10,0))</f>
        <v>Cucumber</v>
      </c>
      <c r="D21" t="str">
        <f>INDEX(Products!C3:C10,MATCH(C21,Products!B3:B10,0))</f>
        <v>Vegetable</v>
      </c>
    </row>
    <row r="23" spans="1:6">
      <c r="A23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Products</vt:lpstr>
      <vt:lpstr>Practice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Auriane Bouaziz</cp:lastModifiedBy>
  <dcterms:created xsi:type="dcterms:W3CDTF">2026-09-23T18:07:53Z</dcterms:created>
  <dcterms:modified xsi:type="dcterms:W3CDTF">2026-09-23T18:07:53Z</dcterms:modified>
</cp:coreProperties>
</file>